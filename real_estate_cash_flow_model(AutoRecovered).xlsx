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bogaard/Documents/shopping/"/>
    </mc:Choice>
  </mc:AlternateContent>
  <xr:revisionPtr revIDLastSave="0" documentId="8_{CD947469-6D8D-164A-A314-D47FA8A9585B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Relocation &amp; Cash Flow Model" sheetId="1" r:id="rId1"/>
  </sheet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23" i="1"/>
  <c r="C25" i="1" s="1"/>
  <c r="B23" i="1"/>
  <c r="B25" i="1" s="1"/>
  <c r="C17" i="1"/>
  <c r="B17" i="1"/>
  <c r="C8" i="1"/>
  <c r="C9" i="1" s="1"/>
  <c r="C15" i="1" s="1"/>
  <c r="C20" i="1" s="1"/>
  <c r="C21" i="1" s="1"/>
  <c r="B8" i="1"/>
  <c r="B9" i="1" s="1"/>
  <c r="B15" i="1" s="1"/>
  <c r="B20" i="1" s="1"/>
  <c r="B21" i="1" s="1"/>
  <c r="B27" i="1" l="1"/>
  <c r="B28" i="1" s="1"/>
  <c r="C27" i="1"/>
  <c r="C29" i="1" l="1"/>
  <c r="C28" i="1"/>
</calcChain>
</file>

<file path=xl/sharedStrings.xml><?xml version="1.0" encoding="utf-8"?>
<sst xmlns="http://schemas.openxmlformats.org/spreadsheetml/2006/main" count="52" uniqueCount="52">
  <si>
    <t>EXECUTIVE RELOCATION &amp; CASH FLOW MODELER</t>
  </si>
  <si>
    <t>Scenario Analysis: Laguna Niguel vs. Manhattan Beach (Radiant Nuclear Offer Evaluation)</t>
  </si>
  <si>
    <t>Financial Metric / Variable</t>
  </si>
  <si>
    <t>Current Setup (Laguna Niguel)</t>
  </si>
  <si>
    <t>Model Formulas / Notes</t>
  </si>
  <si>
    <t>1. INDEPENDENT VARIABLES (USER INPUTS)</t>
  </si>
  <si>
    <t>Property Purchase Price</t>
  </si>
  <si>
    <t>Target home values for comparison</t>
  </si>
  <si>
    <t>Down Payment (%)</t>
  </si>
  <si>
    <t>Current home equity roll-over (~$700k)</t>
  </si>
  <si>
    <t>Down Payment Amount</t>
  </si>
  <si>
    <t>Liquid capital deployed into purchase</t>
  </si>
  <si>
    <t>Mortgage Loan Amount</t>
  </si>
  <si>
    <t>Jumbo/Super Jumbo loan balance</t>
  </si>
  <si>
    <t>Mortgage Interest Rate (Annual)</t>
  </si>
  <si>
    <t>Prevailing or locked market rate</t>
  </si>
  <si>
    <t>Loan Term (Years)</t>
  </si>
  <si>
    <t>Standard fixed-rate period</t>
  </si>
  <si>
    <t>Husband Base Salary (Liquid)</t>
  </si>
  <si>
    <t>Stable current income baseline</t>
  </si>
  <si>
    <t>Wife Base Salary (Liquid)</t>
  </si>
  <si>
    <t>Proposed Radiant Nuclear cash compensation</t>
  </si>
  <si>
    <t>2. MONTHLY HOUSING CARRYING COSTS</t>
  </si>
  <si>
    <t>Monthly Principal &amp; Interest (P&amp;I)</t>
  </si>
  <si>
    <t>Standard amortization calculation</t>
  </si>
  <si>
    <t>Property Tax Rate (Annual %)</t>
  </si>
  <si>
    <t>LA County is slightly higher than South OC</t>
  </si>
  <si>
    <t>Monthly Property Tax Property Allocation</t>
  </si>
  <si>
    <t>Assessed values based on new purchase price</t>
  </si>
  <si>
    <t>Monthly Homeowners Insurance</t>
  </si>
  <si>
    <t>Coastal premium adjustment for Manhattan Beach</t>
  </si>
  <si>
    <t>Monthly HOA / Maintenance Fees</t>
  </si>
  <si>
    <t>Laguna Niguel master association fee</t>
  </si>
  <si>
    <t>TOTAL MONTHLY HOUSING NUT</t>
  </si>
  <si>
    <t>Total baseline cash required to carry roof</t>
  </si>
  <si>
    <t>Annualized Housing Cost</t>
  </si>
  <si>
    <t>Total yearly housing drain</t>
  </si>
  <si>
    <t>3. INCOME &amp; TAX CASH FLOW MODELING</t>
  </si>
  <si>
    <t>Gross Household Income</t>
  </si>
  <si>
    <t>Combined pre-tax liquid compensation</t>
  </si>
  <si>
    <t>Estimated Effective Tax Rate (%)</t>
  </si>
  <si>
    <t>Blended Federal + CA State effective bracket</t>
  </si>
  <si>
    <t>Estimated Annual Net Income</t>
  </si>
  <si>
    <t>Estimated walking-around cash post-tax</t>
  </si>
  <si>
    <t>4. NET DISCRETIONARY LIQUIDITY &amp; DELTA</t>
  </si>
  <si>
    <t>Annual Discretionary Free Cash Flow</t>
  </si>
  <si>
    <t>Cash left for savings, travel, and lifestyle</t>
  </si>
  <si>
    <t>Monthly Discretionary Free Cash Flow</t>
  </si>
  <si>
    <t>Monthly net liquidity cushion</t>
  </si>
  <si>
    <t>NET ANNUAL LIFESTYLE SURPLUS / (DEFICIT)</t>
  </si>
  <si>
    <t>The 'Real Money' difference to overcome</t>
  </si>
  <si>
    <t>Proposed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</si>
</sst>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color rgb="FF1F497D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5" fontId="5" fillId="5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2">
    <dxf>
      <fill>
        <patternFill patternType="solid">
          <fgColor rgb="FFE2EFDA"/>
          <bgColor rgb="FFE2EFDA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pane ySplit="4" topLeftCell="A5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91" customWidth="1"/>
    <col min="2" max="2" width="33" customWidth="1"/>
    <col min="3" max="3" width="36" customWidth="1"/>
    <col min="4" max="4" width="50" customWidth="1"/>
  </cols>
  <sheetData>
    <row r="1" spans="1:4" ht="20" x14ac:dyDescent="0.2">
      <c r="A1" s="1" t="s">
        <v>0</v>
      </c>
    </row>
    <row r="2" spans="1:4" x14ac:dyDescent="0.2">
      <c r="A2" s="2" t="s">
        <v>1</v>
      </c>
    </row>
    <row r="4" spans="1:4" x14ac:dyDescent="0.2">
      <c r="A4" s="3" t="s">
        <v>2</v>
      </c>
      <c r="B4" s="4" t="s">
        <v>3</v>
      </c>
      <c r="C4" s="4" t="s">
        <v>51</v>
      </c>
      <c r="D4" s="3" t="s">
        <v>4</v>
      </c>
    </row>
    <row r="5" spans="1:4" ht="24" customHeight="1" x14ac:dyDescent="0.2">
      <c r="A5" s="19" t="s">
        <v>5</v>
      </c>
      <c r="B5" s="20"/>
      <c r="C5" s="20"/>
      <c r="D5" s="20"/>
    </row>
    <row r="6" spans="1:4" ht="20" customHeight="1" x14ac:dyDescent="0.2">
      <c r="A6" s="5" t="s">
        <v>6</v>
      </c>
      <c r="B6" s="6">
        <v>1700000</v>
      </c>
      <c r="C6" s="6">
        <v>2600000</v>
      </c>
      <c r="D6" s="7" t="s">
        <v>7</v>
      </c>
    </row>
    <row r="7" spans="1:4" ht="20" customHeight="1" x14ac:dyDescent="0.2">
      <c r="A7" s="8" t="s">
        <v>8</v>
      </c>
      <c r="B7" s="9">
        <v>0.4118</v>
      </c>
      <c r="C7" s="9">
        <f>B8/C6</f>
        <v>0.26925384615384618</v>
      </c>
      <c r="D7" s="10" t="s">
        <v>9</v>
      </c>
    </row>
    <row r="8" spans="1:4" ht="20" customHeight="1" x14ac:dyDescent="0.2">
      <c r="A8" s="5" t="s">
        <v>10</v>
      </c>
      <c r="B8" s="11">
        <f>B6*B7</f>
        <v>700060</v>
      </c>
      <c r="C8" s="11">
        <f>C6*C7</f>
        <v>700060.00000000012</v>
      </c>
      <c r="D8" s="7" t="s">
        <v>11</v>
      </c>
    </row>
    <row r="9" spans="1:4" ht="20" customHeight="1" x14ac:dyDescent="0.2">
      <c r="A9" s="8" t="s">
        <v>12</v>
      </c>
      <c r="B9" s="12">
        <f>B6-B8</f>
        <v>999940</v>
      </c>
      <c r="C9" s="12">
        <f>C6-C8</f>
        <v>1899940</v>
      </c>
      <c r="D9" s="10" t="s">
        <v>13</v>
      </c>
    </row>
    <row r="10" spans="1:4" ht="20" customHeight="1" x14ac:dyDescent="0.2">
      <c r="A10" s="5" t="s">
        <v>14</v>
      </c>
      <c r="B10" s="9">
        <v>6.5000000000000002E-2</v>
      </c>
      <c r="C10" s="9">
        <v>6.5000000000000002E-2</v>
      </c>
      <c r="D10" s="7" t="s">
        <v>15</v>
      </c>
    </row>
    <row r="11" spans="1:4" ht="20" customHeight="1" x14ac:dyDescent="0.2">
      <c r="A11" s="8" t="s">
        <v>16</v>
      </c>
      <c r="B11" s="13">
        <v>30</v>
      </c>
      <c r="C11" s="13">
        <v>30</v>
      </c>
      <c r="D11" s="10" t="s">
        <v>17</v>
      </c>
    </row>
    <row r="12" spans="1:4" ht="20" customHeight="1" x14ac:dyDescent="0.2">
      <c r="A12" s="5" t="s">
        <v>18</v>
      </c>
      <c r="B12" s="6">
        <v>330000</v>
      </c>
      <c r="C12" s="6">
        <v>330000</v>
      </c>
      <c r="D12" s="7" t="s">
        <v>19</v>
      </c>
    </row>
    <row r="13" spans="1:4" ht="20" customHeight="1" x14ac:dyDescent="0.2">
      <c r="A13" s="8" t="s">
        <v>20</v>
      </c>
      <c r="B13" s="6">
        <v>300000</v>
      </c>
      <c r="C13" s="6">
        <v>400000</v>
      </c>
      <c r="D13" s="10" t="s">
        <v>21</v>
      </c>
    </row>
    <row r="14" spans="1:4" ht="24" customHeight="1" x14ac:dyDescent="0.2">
      <c r="A14" s="19" t="s">
        <v>22</v>
      </c>
      <c r="B14" s="20"/>
      <c r="C14" s="20"/>
      <c r="D14" s="20"/>
    </row>
    <row r="15" spans="1:4" ht="20" customHeight="1" x14ac:dyDescent="0.2">
      <c r="A15" s="8" t="s">
        <v>23</v>
      </c>
      <c r="B15" s="12">
        <f>PMT(B10/12, B11*12, -B9)</f>
        <v>6320.3009941155415</v>
      </c>
      <c r="C15" s="12">
        <f>PMT(C10/12, C11*12, -C9)</f>
        <v>12008.913205552217</v>
      </c>
      <c r="D15" s="10" t="s">
        <v>24</v>
      </c>
    </row>
    <row r="16" spans="1:4" ht="20" customHeight="1" x14ac:dyDescent="0.2">
      <c r="A16" s="5" t="s">
        <v>25</v>
      </c>
      <c r="B16" s="9">
        <v>0.01</v>
      </c>
      <c r="C16" s="9">
        <v>1.2500000000000001E-2</v>
      </c>
      <c r="D16" s="7" t="s">
        <v>26</v>
      </c>
    </row>
    <row r="17" spans="1:4" ht="20" customHeight="1" x14ac:dyDescent="0.2">
      <c r="A17" s="8" t="s">
        <v>27</v>
      </c>
      <c r="B17" s="12">
        <f>(B6*B16)/12</f>
        <v>1416.6666666666667</v>
      </c>
      <c r="C17" s="12">
        <f>(C6*C16)/12</f>
        <v>2708.3333333333335</v>
      </c>
      <c r="D17" s="10" t="s">
        <v>28</v>
      </c>
    </row>
    <row r="18" spans="1:4" ht="20" customHeight="1" x14ac:dyDescent="0.2">
      <c r="A18" s="5" t="s">
        <v>29</v>
      </c>
      <c r="B18" s="6">
        <v>150</v>
      </c>
      <c r="C18" s="6">
        <v>500</v>
      </c>
      <c r="D18" s="7" t="s">
        <v>30</v>
      </c>
    </row>
    <row r="19" spans="1:4" ht="20" customHeight="1" x14ac:dyDescent="0.2">
      <c r="A19" s="8" t="s">
        <v>31</v>
      </c>
      <c r="B19" s="6">
        <v>375</v>
      </c>
      <c r="C19" s="6">
        <v>0</v>
      </c>
      <c r="D19" s="10" t="s">
        <v>32</v>
      </c>
    </row>
    <row r="20" spans="1:4" ht="20" customHeight="1" x14ac:dyDescent="0.2">
      <c r="A20" s="14" t="s">
        <v>33</v>
      </c>
      <c r="B20" s="15">
        <f>SUM(B15,B17,B18,B19)</f>
        <v>8261.9676607822075</v>
      </c>
      <c r="C20" s="15">
        <f>SUM(C15,C17,C18,C19)</f>
        <v>15217.246538885551</v>
      </c>
      <c r="D20" s="10" t="s">
        <v>34</v>
      </c>
    </row>
    <row r="21" spans="1:4" ht="20" customHeight="1" x14ac:dyDescent="0.2">
      <c r="A21" s="8" t="s">
        <v>35</v>
      </c>
      <c r="B21" s="12">
        <f>B20*12</f>
        <v>99143.61192938649</v>
      </c>
      <c r="C21" s="12">
        <f>C20*12</f>
        <v>182606.95846662662</v>
      </c>
      <c r="D21" s="10" t="s">
        <v>36</v>
      </c>
    </row>
    <row r="22" spans="1:4" ht="24" customHeight="1" x14ac:dyDescent="0.2">
      <c r="A22" s="19" t="s">
        <v>37</v>
      </c>
      <c r="B22" s="20"/>
      <c r="C22" s="20"/>
      <c r="D22" s="20"/>
    </row>
    <row r="23" spans="1:4" ht="20" customHeight="1" x14ac:dyDescent="0.2">
      <c r="A23" s="8" t="s">
        <v>38</v>
      </c>
      <c r="B23" s="12">
        <f>SUM(B12,B13)</f>
        <v>630000</v>
      </c>
      <c r="C23" s="12">
        <f>SUM(C12,C13)</f>
        <v>730000</v>
      </c>
      <c r="D23" s="10" t="s">
        <v>39</v>
      </c>
    </row>
    <row r="24" spans="1:4" ht="20" customHeight="1" x14ac:dyDescent="0.2">
      <c r="A24" s="5" t="s">
        <v>40</v>
      </c>
      <c r="B24" s="9">
        <v>0.35</v>
      </c>
      <c r="C24" s="9">
        <v>0.37</v>
      </c>
      <c r="D24" s="7" t="s">
        <v>41</v>
      </c>
    </row>
    <row r="25" spans="1:4" ht="20" customHeight="1" x14ac:dyDescent="0.2">
      <c r="A25" s="8" t="s">
        <v>42</v>
      </c>
      <c r="B25" s="12">
        <f>B23*(1-B24)</f>
        <v>409500</v>
      </c>
      <c r="C25" s="12">
        <f>C23*(1-C24)</f>
        <v>459900</v>
      </c>
      <c r="D25" s="10" t="s">
        <v>43</v>
      </c>
    </row>
    <row r="26" spans="1:4" ht="24" customHeight="1" x14ac:dyDescent="0.2">
      <c r="A26" s="19" t="s">
        <v>44</v>
      </c>
      <c r="B26" s="20"/>
      <c r="C26" s="20"/>
      <c r="D26" s="20"/>
    </row>
    <row r="27" spans="1:4" ht="20" customHeight="1" x14ac:dyDescent="0.2">
      <c r="A27" s="14" t="s">
        <v>45</v>
      </c>
      <c r="B27" s="15">
        <f>B25-B21</f>
        <v>310356.3880706135</v>
      </c>
      <c r="C27" s="15">
        <f>C25-C21</f>
        <v>277293.04153337341</v>
      </c>
      <c r="D27" s="10" t="s">
        <v>46</v>
      </c>
    </row>
    <row r="28" spans="1:4" ht="20" customHeight="1" x14ac:dyDescent="0.2">
      <c r="A28" s="5" t="s">
        <v>47</v>
      </c>
      <c r="B28" s="11">
        <f>B27/12</f>
        <v>25863.032339217792</v>
      </c>
      <c r="C28" s="11">
        <f>C27/12</f>
        <v>23107.753461114451</v>
      </c>
      <c r="D28" s="7" t="s">
        <v>48</v>
      </c>
    </row>
    <row r="29" spans="1:4" ht="20" customHeight="1" x14ac:dyDescent="0.2">
      <c r="A29" s="16" t="s">
        <v>49</v>
      </c>
      <c r="B29" s="17">
        <v>0</v>
      </c>
      <c r="C29" s="17">
        <f>C27-B27</f>
        <v>-33063.346537240082</v>
      </c>
      <c r="D29" s="18" t="s">
        <v>50</v>
      </c>
    </row>
  </sheetData>
  <mergeCells count="4">
    <mergeCell ref="A22:D22"/>
    <mergeCell ref="A5:D5"/>
    <mergeCell ref="A26:D26"/>
    <mergeCell ref="A14:D14"/>
  </mergeCells>
  <conditionalFormatting sqref="C29">
    <cfRule type="cellIs" dxfId="1" priority="1" stopIfTrue="1" operator="lessThan">
      <formula>0</formula>
    </cfRule>
    <cfRule type="cellIs" dxfId="0" priority="2" stopIfTrue="1" operator="greaterThanOr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Relocation &amp; Cash Flow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Bogaard, Jon</cp:lastModifiedBy>
  <dcterms:created xsi:type="dcterms:W3CDTF">2026-06-17T19:28:11Z</dcterms:created>
  <dcterms:modified xsi:type="dcterms:W3CDTF">2026-08-04T19:31:29Z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2026-08-04T19:31:29Z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b47c74fe-e0f9-438a-b2f7-b5bf11d2bffd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